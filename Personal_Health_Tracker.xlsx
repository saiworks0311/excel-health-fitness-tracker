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26932a67341c14/Desktop/da/excel_projects/"/>
    </mc:Choice>
  </mc:AlternateContent>
  <xr:revisionPtr revIDLastSave="374" documentId="8_{4311A2E1-3526-4FAF-886E-F00CB364CE97}" xr6:coauthVersionLast="47" xr6:coauthVersionMax="47" xr10:uidLastSave="{036EB1DF-13D0-4B94-891E-75BA6B48F8E6}"/>
  <bookViews>
    <workbookView xWindow="-90" yWindow="0" windowWidth="9780" windowHeight="10170" firstSheet="2" activeTab="2" xr2:uid="{39D3D412-72DD-44C3-8B99-5AF1930BD2A0}"/>
  </bookViews>
  <sheets>
    <sheet name="Profile &amp; Calculator" sheetId="1" r:id="rId1"/>
    <sheet name="Daily Tracker" sheetId="2" r:id="rId2"/>
    <sheet name="Exercise PlanGoal_x0009_Activity Lev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P2" i="2"/>
  <c r="P3" i="2"/>
  <c r="P4" i="2"/>
  <c r="P5" i="2"/>
  <c r="P6" i="2"/>
  <c r="P7" i="2"/>
  <c r="P8" i="2"/>
  <c r="C15" i="2"/>
  <c r="C14" i="2"/>
  <c r="O2" i="2"/>
  <c r="O3" i="2"/>
  <c r="O4" i="2"/>
  <c r="O5" i="2"/>
  <c r="O6" i="2"/>
  <c r="O7" i="2"/>
  <c r="O8" i="2"/>
  <c r="N2" i="2"/>
  <c r="N3" i="2"/>
  <c r="N4" i="2"/>
  <c r="N5" i="2"/>
  <c r="N6" i="2"/>
  <c r="N7" i="2"/>
  <c r="N8" i="2"/>
  <c r="M2" i="2"/>
  <c r="M3" i="2"/>
  <c r="M4" i="2"/>
  <c r="M5" i="2"/>
  <c r="M6" i="2"/>
  <c r="M7" i="2"/>
  <c r="M8" i="2"/>
  <c r="K2" i="2"/>
  <c r="K3" i="2"/>
  <c r="K4" i="2"/>
  <c r="K5" i="2"/>
  <c r="K6" i="2"/>
  <c r="K7" i="2"/>
  <c r="K8" i="2"/>
  <c r="J2" i="2"/>
  <c r="J3" i="2"/>
  <c r="J4" i="2"/>
  <c r="J5" i="2"/>
  <c r="J6" i="2"/>
  <c r="J7" i="2"/>
  <c r="J8" i="2"/>
  <c r="I2" i="2"/>
  <c r="I3" i="2"/>
  <c r="I4" i="2"/>
  <c r="I5" i="2"/>
  <c r="I6" i="2"/>
  <c r="I7" i="2"/>
  <c r="I8" i="2"/>
  <c r="H2" i="2"/>
  <c r="H3" i="2"/>
  <c r="H4" i="2"/>
  <c r="H5" i="2"/>
  <c r="H6" i="2"/>
  <c r="H7" i="2"/>
  <c r="H8" i="2"/>
  <c r="C22" i="2"/>
  <c r="C21" i="2"/>
  <c r="C20" i="2"/>
  <c r="C18" i="2"/>
  <c r="C17" i="2"/>
  <c r="C19" i="2"/>
  <c r="C16" i="2"/>
  <c r="C13" i="2"/>
  <c r="C12" i="2"/>
  <c r="B13" i="1"/>
  <c r="B16" i="1"/>
  <c r="B15" i="1"/>
  <c r="B14" i="1"/>
  <c r="B12" i="1"/>
</calcChain>
</file>

<file path=xl/sharedStrings.xml><?xml version="1.0" encoding="utf-8"?>
<sst xmlns="http://schemas.openxmlformats.org/spreadsheetml/2006/main" count="95" uniqueCount="75">
  <si>
    <t>PERSONAL HEALTH &amp; FITNESS TRACKER</t>
  </si>
  <si>
    <t>PERSONAL INFORMATION</t>
  </si>
  <si>
    <t>Name</t>
  </si>
  <si>
    <t>Age</t>
  </si>
  <si>
    <t>Gender</t>
  </si>
  <si>
    <t>Height(cm)</t>
  </si>
  <si>
    <t>Weight(kg)</t>
  </si>
  <si>
    <t>Goal</t>
  </si>
  <si>
    <t>Divya</t>
  </si>
  <si>
    <t>Female</t>
  </si>
  <si>
    <t>General Fitness</t>
  </si>
  <si>
    <t>HEALTH CALCULATIONS</t>
  </si>
  <si>
    <t>BMI</t>
  </si>
  <si>
    <t>BMI Category</t>
  </si>
  <si>
    <t>Ideal Weight-min</t>
  </si>
  <si>
    <t>Ideal Weight-max</t>
  </si>
  <si>
    <t>Protein Target</t>
  </si>
  <si>
    <t>Protein unit</t>
  </si>
  <si>
    <t>g/day</t>
  </si>
  <si>
    <t>Date</t>
  </si>
  <si>
    <t>Water(L)</t>
  </si>
  <si>
    <t>Steps</t>
  </si>
  <si>
    <t>Exercise(min)</t>
  </si>
  <si>
    <t>Protein(g)</t>
  </si>
  <si>
    <t>Sleep(Hrs)</t>
  </si>
  <si>
    <t>Calories</t>
  </si>
  <si>
    <t>WEEKLY SUMMARY</t>
  </si>
  <si>
    <t>Total Water</t>
  </si>
  <si>
    <t>Average Water</t>
  </si>
  <si>
    <t>Total Exercise</t>
  </si>
  <si>
    <t>Average Exercise</t>
  </si>
  <si>
    <t>Average Steps</t>
  </si>
  <si>
    <t>Highest Steps</t>
  </si>
  <si>
    <t>Lowest Steps</t>
  </si>
  <si>
    <t>Average Protein</t>
  </si>
  <si>
    <t>Highest Protein</t>
  </si>
  <si>
    <t>Lowest Protein</t>
  </si>
  <si>
    <t>Days Recorded</t>
  </si>
  <si>
    <t>Water Target</t>
  </si>
  <si>
    <t>Water Status</t>
  </si>
  <si>
    <t>Step Target</t>
  </si>
  <si>
    <t>Step Status</t>
  </si>
  <si>
    <t>Sleep Target</t>
  </si>
  <si>
    <t>Sleep Status</t>
  </si>
  <si>
    <t>Protein Status</t>
  </si>
  <si>
    <t>Target Steps</t>
  </si>
  <si>
    <t>Overall Status</t>
  </si>
  <si>
    <t>OR</t>
  </si>
  <si>
    <t>Activity Level</t>
  </si>
  <si>
    <t>Recommended Exercise</t>
  </si>
  <si>
    <t>Beginner</t>
  </si>
  <si>
    <t>Walking + Full Body Strength</t>
  </si>
  <si>
    <t>Moderate</t>
  </si>
  <si>
    <t>Strength + Cardio</t>
  </si>
  <si>
    <t>Weight Management</t>
  </si>
  <si>
    <t>Muscle Building</t>
  </si>
  <si>
    <t>Full Body Strength</t>
  </si>
  <si>
    <t>Strength Training</t>
  </si>
  <si>
    <t>Day</t>
  </si>
  <si>
    <t>Exercise</t>
  </si>
  <si>
    <t>Duration</t>
  </si>
  <si>
    <t>Monday</t>
  </si>
  <si>
    <t>30 min</t>
  </si>
  <si>
    <t>Tuesday</t>
  </si>
  <si>
    <t>Walking/Cardio</t>
  </si>
  <si>
    <t>Wednesday</t>
  </si>
  <si>
    <t>Lower Body Strength</t>
  </si>
  <si>
    <t>Thursday</t>
  </si>
  <si>
    <t>Friday</t>
  </si>
  <si>
    <t>Upper Body Strength</t>
  </si>
  <si>
    <t>Saturday</t>
  </si>
  <si>
    <t>Full Body + Mobility</t>
  </si>
  <si>
    <t>Sunday</t>
  </si>
  <si>
    <t>Rest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</si>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</sst>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0" formatCode="0.0"/>
  </numFmts>
  <fonts count="10" x14ac:knownFonts="1">
    <font>
      <sz val="11"/>
      <color theme="1"/>
      <name val="Calibri"/>
      <family val="2"/>
      <scheme val="minor"/>
    </font>
    <font>
      <b/>
      <u/>
      <sz val="20"/>
      <color theme="8" tint="-0.499984740745262"/>
      <name val="Aharoni"/>
      <charset val="177"/>
    </font>
    <font>
      <u/>
      <sz val="11"/>
      <color theme="1"/>
      <name val="Calibri"/>
      <family val="2"/>
      <scheme val="minor"/>
    </font>
    <font>
      <b/>
      <u val="double"/>
      <sz val="11"/>
      <color theme="8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5" tint="-0.49998474074526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5" fontId="0" fillId="0" borderId="0" xfId="0" applyNumberFormat="1"/>
    <xf numFmtId="17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0" fillId="0" borderId="0" xfId="0" applyNumberFormat="1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</cellXfs>
  <cellStyles count="1">
    <cellStyle name="Normal" xfId="0" builtinId="0"/>
  </cellStyles>
  <dxfs count="19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DAB44-50BA-4067-A0EB-253B6C4B022E}" name="Table1" displayName="Table1" ref="A1:Q8" totalsRowShown="0">
  <autoFilter ref="A1:Q8" xr:uid="{7CDDAB44-50BA-4067-A0EB-253B6C4B022E}"/>
  <sortState xmlns:xlrd2="http://schemas.microsoft.com/office/spreadsheetml/2017/richdata2" ref="A2:G8">
    <sortCondition ref="A1:A8"/>
  </sortState>
  <tableColumns count="17">
    <tableColumn id="1" xr3:uid="{1F48F695-7667-4AE0-A078-5624883B462B}" name="Date" dataDxfId="18"/>
    <tableColumn id="2" xr3:uid="{A7B788A0-567E-4C47-B628-28055127645D}" name="Water(L)"/>
    <tableColumn id="3" xr3:uid="{E912D1EB-E16A-466A-B409-89668A53BEB0}" name="Steps"/>
    <tableColumn id="4" xr3:uid="{8C062EEF-05F9-4026-98D5-6AEBCA73C4C0}" name="Exercise(min)"/>
    <tableColumn id="5" xr3:uid="{59E1D0FA-2234-4C84-AB34-C12D41E04A0B}" name="Protein(g)"/>
    <tableColumn id="6" xr3:uid="{444159C0-B9BB-4B2B-A763-6FA647FFAB9E}" name="Sleep(Hrs)"/>
    <tableColumn id="7" xr3:uid="{A0762799-A7BC-48AD-8A49-2B385DDE9873}" name="Calories"/>
    <tableColumn id="8" xr3:uid="{BFA96256-7EE7-475B-87AC-23F951BD1026}" name="Water Target" dataDxfId="17">
      <calculatedColumnFormula>'Profile &amp; Calculator'!$B$18</calculatedColumnFormula>
    </tableColumn>
    <tableColumn id="9" xr3:uid="{302ABDB7-7F55-4322-9711-01B9FCCFFDD3}" name="Water Status" dataDxfId="16">
      <calculatedColumnFormula>IF(B2&gt;=H2,"Target Met","Below Target")</calculatedColumnFormula>
    </tableColumn>
    <tableColumn id="10" xr3:uid="{CF1EED6E-B2B3-4FF8-9060-805190427F04}" name="Step Target" dataDxfId="15">
      <calculatedColumnFormula>'Profile &amp; Calculator'!$B$19</calculatedColumnFormula>
    </tableColumn>
    <tableColumn id="11" xr3:uid="{016AC8F8-61CE-4E55-BBE6-0ED55270487E}" name="Step Status" dataDxfId="14">
      <calculatedColumnFormula>IF(C2&gt;=J2,"Target Met","below Target")</calculatedColumnFormula>
    </tableColumn>
    <tableColumn id="12" xr3:uid="{157E11DE-3334-49B8-9434-5C85049C574D}" name="Sleep Target" dataDxfId="13">
      <calculatedColumnFormula>IF(F2&gt;=6.5,"Target Met","Below Target")</calculatedColumnFormula>
    </tableColumn>
    <tableColumn id="13" xr3:uid="{149A5940-C024-4A98-A063-C104C573D9AD}" name="Sleep Status" dataDxfId="12">
      <calculatedColumnFormula>IF(F2&gt;=6.5,"Target Met","Below Target")</calculatedColumnFormula>
    </tableColumn>
    <tableColumn id="14" xr3:uid="{A4A8B1ED-38D9-4639-B933-60278837D837}" name="Protein Target" dataDxfId="11">
      <calculatedColumnFormula>'Profile &amp; Calculator'!$B$16</calculatedColumnFormula>
    </tableColumn>
    <tableColumn id="15" xr3:uid="{0997072E-301C-4753-82DD-0FED994C25AF}" name="Protein Status" dataDxfId="10">
      <calculatedColumnFormula>IF(E2&gt;=N2,"Target Met","Below Target")</calculatedColumnFormula>
    </tableColumn>
    <tableColumn id="16" xr3:uid="{F91DAC6C-9EB1-4B8C-8A30-7E645CEB7976}" name="Overall Status" dataDxfId="9">
      <calculatedColumnFormula>IF(AND(B2&gt;=H2,C2&gt;=J2),"ALL TARGETS MET","NEEDS IMPROVEMENT")</calculatedColumnFormula>
    </tableColumn>
    <tableColumn id="17" xr3:uid="{B01FEC9A-2454-4941-9A9A-376A01C15C4D}" name="OR" dataDxfId="8">
      <calculatedColumnFormula>IF(OR(B2&gt;=H2,C2&gt;=J2),"At Least One Target Met","Neither Target Met")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8EF869-D8A2-4FD0-AD36-00D28DBA7C6D}" name="Table2" displayName="Table2" ref="A1:C7" totalsRowShown="0" headerRowDxfId="0" dataDxfId="7" headerRowBorderDxfId="5" tableBorderDxfId="6" totalsRowBorderDxfId="4">
  <autoFilter ref="A1:C7" xr:uid="{CB8EF869-D8A2-4FD0-AD36-00D28DBA7C6D}"/>
  <tableColumns count="3">
    <tableColumn id="1" xr3:uid="{5A048285-5663-426C-A0B8-3D14363C85FE}" name="Goal" dataDxfId="3"/>
    <tableColumn id="2" xr3:uid="{335FBFC6-5072-40E3-8CB2-1308DF7BF63D}" name="Activity Level" dataDxfId="2"/>
    <tableColumn id="3" xr3:uid="{38271410-3EE1-405D-8218-1F4A066F3655}" name="Recommended Exercise" dataDxfId="1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1A26-55C5-47A0-90C7-83435230906B}">
  <dimension ref="A1:O19"/>
  <sheetViews>
    <sheetView topLeftCell="A4" zoomScale="97" workbookViewId="0">
      <selection activeCell="B19" sqref="B19"/>
    </sheetView>
  </sheetViews>
  <sheetFormatPr defaultRowHeight="14.5" x14ac:dyDescent="0.35"/>
  <cols>
    <col min="1" max="1" width="22.453125" bestFit="1" customWidth="1"/>
    <col min="2" max="2" width="13.6328125" bestFit="1" customWidth="1"/>
    <col min="5" max="5" width="9.90625" bestFit="1" customWidth="1"/>
    <col min="6" max="6" width="9.81640625" bestFit="1" customWidth="1"/>
  </cols>
  <sheetData>
    <row r="1" spans="1:15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" thickBot="1" x14ac:dyDescent="0.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25" customHeight="1" thickBot="1" x14ac:dyDescent="0.4">
      <c r="A3" s="10" t="s">
        <v>1</v>
      </c>
      <c r="B3" s="1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5">
      <c r="A4" s="5" t="s">
        <v>2</v>
      </c>
      <c r="B4" s="1" t="s">
        <v>8</v>
      </c>
    </row>
    <row r="5" spans="1:15" x14ac:dyDescent="0.35">
      <c r="A5" s="5" t="s">
        <v>3</v>
      </c>
      <c r="B5" s="1">
        <v>22</v>
      </c>
    </row>
    <row r="6" spans="1:15" x14ac:dyDescent="0.35">
      <c r="A6" s="5" t="s">
        <v>4</v>
      </c>
      <c r="B6" s="1" t="s">
        <v>9</v>
      </c>
    </row>
    <row r="7" spans="1:15" x14ac:dyDescent="0.35">
      <c r="A7" s="5" t="s">
        <v>5</v>
      </c>
      <c r="B7" s="1">
        <v>158</v>
      </c>
    </row>
    <row r="8" spans="1:15" x14ac:dyDescent="0.35">
      <c r="A8" s="5" t="s">
        <v>6</v>
      </c>
      <c r="B8" s="1">
        <v>60</v>
      </c>
    </row>
    <row r="9" spans="1:15" x14ac:dyDescent="0.35">
      <c r="A9" s="5" t="s">
        <v>7</v>
      </c>
      <c r="B9" s="1" t="s">
        <v>10</v>
      </c>
    </row>
    <row r="10" spans="1:15" ht="15" thickBot="1" x14ac:dyDescent="0.4"/>
    <row r="11" spans="1:15" ht="26" customHeight="1" thickBot="1" x14ac:dyDescent="0.4">
      <c r="A11" s="12" t="s">
        <v>11</v>
      </c>
      <c r="B11" s="13"/>
      <c r="C11" s="2"/>
      <c r="D11" s="2"/>
    </row>
    <row r="12" spans="1:15" x14ac:dyDescent="0.35">
      <c r="A12" s="6" t="s">
        <v>12</v>
      </c>
      <c r="B12" s="3">
        <f>B8/((B7/100)^2)</f>
        <v>24.034609838166958</v>
      </c>
      <c r="C12" s="4"/>
    </row>
    <row r="13" spans="1:15" x14ac:dyDescent="0.35">
      <c r="A13" s="6" t="s">
        <v>13</v>
      </c>
      <c r="B13" s="4" t="str">
        <f>IF(B12&lt;18.5,"Underweight",IF(B12&lt;25,"Normal",IF(B12&lt;30,"Overweight","Obesity")))</f>
        <v>Normal</v>
      </c>
      <c r="C13" s="4"/>
    </row>
    <row r="14" spans="1:15" x14ac:dyDescent="0.35">
      <c r="A14" s="6" t="s">
        <v>14</v>
      </c>
      <c r="B14" s="4">
        <f>18.5*((B7/100)^2)</f>
        <v>46.183400000000006</v>
      </c>
      <c r="C14" s="4"/>
    </row>
    <row r="15" spans="1:15" x14ac:dyDescent="0.35">
      <c r="A15" s="6" t="s">
        <v>15</v>
      </c>
      <c r="B15" s="4">
        <f>24.9*((B7/100)^2)</f>
        <v>62.160360000000004</v>
      </c>
      <c r="C15" s="4"/>
    </row>
    <row r="16" spans="1:15" x14ac:dyDescent="0.35">
      <c r="A16" s="6" t="s">
        <v>16</v>
      </c>
      <c r="B16" s="4">
        <f>B8*1.2</f>
        <v>72</v>
      </c>
      <c r="C16" s="4"/>
    </row>
    <row r="17" spans="1:3" x14ac:dyDescent="0.35">
      <c r="A17" s="6" t="s">
        <v>17</v>
      </c>
      <c r="B17" s="4" t="s">
        <v>18</v>
      </c>
      <c r="C17" s="4"/>
    </row>
    <row r="18" spans="1:3" x14ac:dyDescent="0.35">
      <c r="A18" s="6" t="s">
        <v>38</v>
      </c>
      <c r="B18" s="4">
        <v>2.5</v>
      </c>
    </row>
    <row r="19" spans="1:3" x14ac:dyDescent="0.35">
      <c r="A19" s="6" t="s">
        <v>45</v>
      </c>
      <c r="B19" s="4">
        <v>7500</v>
      </c>
    </row>
  </sheetData>
  <mergeCells count="3">
    <mergeCell ref="A1:O2"/>
    <mergeCell ref="A3:B3"/>
    <mergeCell ref="A11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F048-A13E-4FF4-9049-897287C1E3C7}">
  <dimension ref="A1:Q22"/>
  <sheetViews>
    <sheetView topLeftCell="P1" zoomScale="175" workbookViewId="0">
      <selection activeCell="Q2" sqref="Q2"/>
    </sheetView>
  </sheetViews>
  <sheetFormatPr defaultRowHeight="14.5" x14ac:dyDescent="0.35"/>
  <cols>
    <col min="1" max="1" width="9.36328125" bestFit="1" customWidth="1"/>
    <col min="2" max="2" width="11" bestFit="1" customWidth="1"/>
    <col min="3" max="3" width="8.26953125" bestFit="1" customWidth="1"/>
    <col min="4" max="4" width="15" bestFit="1" customWidth="1"/>
    <col min="5" max="5" width="12" bestFit="1" customWidth="1"/>
    <col min="6" max="6" width="12.36328125" bestFit="1" customWidth="1"/>
    <col min="7" max="7" width="10.36328125" bestFit="1" customWidth="1"/>
    <col min="8" max="8" width="14.6328125" bestFit="1" customWidth="1"/>
    <col min="9" max="9" width="14.54296875" bestFit="1" customWidth="1"/>
    <col min="10" max="10" width="13.1796875" bestFit="1" customWidth="1"/>
    <col min="11" max="11" width="13.08984375" bestFit="1" customWidth="1"/>
    <col min="12" max="12" width="14" bestFit="1" customWidth="1"/>
    <col min="13" max="13" width="13.90625" bestFit="1" customWidth="1"/>
    <col min="14" max="14" width="15.6328125" bestFit="1" customWidth="1"/>
    <col min="15" max="15" width="15.54296875" bestFit="1" customWidth="1"/>
    <col min="16" max="16" width="19.7265625" bestFit="1" customWidth="1"/>
    <col min="17" max="17" width="21.08984375" bestFit="1" customWidth="1"/>
  </cols>
  <sheetData>
    <row r="1" spans="1:17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16</v>
      </c>
      <c r="O1" t="s">
        <v>44</v>
      </c>
      <c r="P1" t="s">
        <v>46</v>
      </c>
      <c r="Q1" t="s">
        <v>47</v>
      </c>
    </row>
    <row r="2" spans="1:17" x14ac:dyDescent="0.35">
      <c r="A2" s="14">
        <v>46275</v>
      </c>
      <c r="B2" s="15">
        <v>2</v>
      </c>
      <c r="C2">
        <v>6500</v>
      </c>
      <c r="D2">
        <v>30</v>
      </c>
      <c r="E2">
        <v>70</v>
      </c>
      <c r="F2">
        <v>7</v>
      </c>
      <c r="G2">
        <v>1900</v>
      </c>
      <c r="H2">
        <f>'Profile &amp; Calculator'!$B$18</f>
        <v>2.5</v>
      </c>
      <c r="I2" t="str">
        <f t="shared" ref="I2:I8" si="0">IF(B2&gt;=H2,"Target Met","Below Target")</f>
        <v>Below Target</v>
      </c>
      <c r="J2">
        <f>'Profile &amp; Calculator'!$B$19</f>
        <v>7500</v>
      </c>
      <c r="K2" t="str">
        <f t="shared" ref="K2:K8" si="1">IF(C2&gt;=J2,"Target Met","below Target")</f>
        <v>below Target</v>
      </c>
      <c r="L2">
        <v>6.5</v>
      </c>
      <c r="M2" t="str">
        <f t="shared" ref="M2:M8" si="2">IF(F2&gt;=6.5,"Target Met","Below Target")</f>
        <v>Target Met</v>
      </c>
      <c r="N2">
        <f>'Profile &amp; Calculator'!$B$16</f>
        <v>72</v>
      </c>
      <c r="O2" t="str">
        <f t="shared" ref="O2:O8" si="3">IF(E2&gt;=N2,"Target Met","Below Target")</f>
        <v>Below Target</v>
      </c>
      <c r="P2" s="21" t="str">
        <f t="shared" ref="P2:P8" si="4">IF(AND(B2&gt;=H2,C2&gt;=J2),"ALL TARGETS MET","NEEDS IMPROVEMENT")</f>
        <v>NEEDS IMPROVEMENT</v>
      </c>
      <c r="Q2" s="21" t="str">
        <f t="shared" ref="Q2:Q8" si="5">IF(OR(B2&gt;=H2,C2&gt;=J2),"At Least One Target Met","Neither Target Met")</f>
        <v>Neither Target Met</v>
      </c>
    </row>
    <row r="3" spans="1:17" x14ac:dyDescent="0.35">
      <c r="A3" s="14">
        <v>46276</v>
      </c>
      <c r="B3">
        <v>2.5</v>
      </c>
      <c r="C3">
        <v>8200</v>
      </c>
      <c r="D3">
        <v>45</v>
      </c>
      <c r="E3">
        <v>85</v>
      </c>
      <c r="F3">
        <v>8</v>
      </c>
      <c r="G3">
        <v>2050</v>
      </c>
      <c r="H3">
        <f>'Profile &amp; Calculator'!$B$18</f>
        <v>2.5</v>
      </c>
      <c r="I3" t="str">
        <f t="shared" si="0"/>
        <v>Target Met</v>
      </c>
      <c r="J3">
        <f>'Profile &amp; Calculator'!$B$19</f>
        <v>7500</v>
      </c>
      <c r="K3" t="str">
        <f t="shared" si="1"/>
        <v>Target Met</v>
      </c>
      <c r="L3">
        <v>6.5</v>
      </c>
      <c r="M3" t="str">
        <f t="shared" si="2"/>
        <v>Target Met</v>
      </c>
      <c r="N3">
        <f>'Profile &amp; Calculator'!$B$16</f>
        <v>72</v>
      </c>
      <c r="O3" t="str">
        <f t="shared" si="3"/>
        <v>Target Met</v>
      </c>
      <c r="P3" s="21" t="str">
        <f t="shared" si="4"/>
        <v>ALL TARGETS MET</v>
      </c>
      <c r="Q3" s="21" t="str">
        <f t="shared" si="5"/>
        <v>At Least One Target Met</v>
      </c>
    </row>
    <row r="4" spans="1:17" x14ac:dyDescent="0.35">
      <c r="A4" s="14">
        <v>46277</v>
      </c>
      <c r="B4">
        <v>1.8</v>
      </c>
      <c r="C4">
        <v>5000</v>
      </c>
      <c r="D4">
        <v>20</v>
      </c>
      <c r="E4">
        <v>65</v>
      </c>
      <c r="F4">
        <v>6.5</v>
      </c>
      <c r="G4">
        <v>2200</v>
      </c>
      <c r="H4">
        <f>'Profile &amp; Calculator'!$B$18</f>
        <v>2.5</v>
      </c>
      <c r="I4" t="str">
        <f t="shared" si="0"/>
        <v>Below Target</v>
      </c>
      <c r="J4">
        <f>'Profile &amp; Calculator'!$B$19</f>
        <v>7500</v>
      </c>
      <c r="K4" t="str">
        <f t="shared" si="1"/>
        <v>below Target</v>
      </c>
      <c r="L4">
        <v>6.5</v>
      </c>
      <c r="M4" t="str">
        <f t="shared" si="2"/>
        <v>Target Met</v>
      </c>
      <c r="N4">
        <f>'Profile &amp; Calculator'!$B$16</f>
        <v>72</v>
      </c>
      <c r="O4" t="str">
        <f t="shared" si="3"/>
        <v>Below Target</v>
      </c>
      <c r="P4" s="21" t="str">
        <f t="shared" si="4"/>
        <v>NEEDS IMPROVEMENT</v>
      </c>
      <c r="Q4" s="21" t="str">
        <f t="shared" si="5"/>
        <v>Neither Target Met</v>
      </c>
    </row>
    <row r="5" spans="1:17" x14ac:dyDescent="0.35">
      <c r="A5" s="14">
        <v>46278</v>
      </c>
      <c r="B5">
        <v>2.2999999999999998</v>
      </c>
      <c r="C5">
        <v>7500</v>
      </c>
      <c r="D5">
        <v>35</v>
      </c>
      <c r="E5">
        <v>78</v>
      </c>
      <c r="F5">
        <v>7.5</v>
      </c>
      <c r="G5">
        <v>2000</v>
      </c>
      <c r="H5">
        <f>'Profile &amp; Calculator'!$B$18</f>
        <v>2.5</v>
      </c>
      <c r="I5" t="str">
        <f t="shared" si="0"/>
        <v>Below Target</v>
      </c>
      <c r="J5">
        <f>'Profile &amp; Calculator'!$B$19</f>
        <v>7500</v>
      </c>
      <c r="K5" t="str">
        <f t="shared" si="1"/>
        <v>Target Met</v>
      </c>
      <c r="L5">
        <v>6.5</v>
      </c>
      <c r="M5" t="str">
        <f t="shared" si="2"/>
        <v>Target Met</v>
      </c>
      <c r="N5">
        <f>'Profile &amp; Calculator'!$B$16</f>
        <v>72</v>
      </c>
      <c r="O5" t="str">
        <f t="shared" si="3"/>
        <v>Target Met</v>
      </c>
      <c r="P5" s="21" t="str">
        <f t="shared" si="4"/>
        <v>NEEDS IMPROVEMENT</v>
      </c>
      <c r="Q5" s="21" t="str">
        <f t="shared" si="5"/>
        <v>At Least One Target Met</v>
      </c>
    </row>
    <row r="6" spans="1:17" x14ac:dyDescent="0.35">
      <c r="A6" s="14">
        <v>46279</v>
      </c>
      <c r="B6">
        <v>2.7</v>
      </c>
      <c r="C6">
        <v>9200</v>
      </c>
      <c r="D6">
        <v>50</v>
      </c>
      <c r="E6">
        <v>90</v>
      </c>
      <c r="F6">
        <v>8.5</v>
      </c>
      <c r="G6">
        <v>1950</v>
      </c>
      <c r="H6">
        <f>'Profile &amp; Calculator'!$B$18</f>
        <v>2.5</v>
      </c>
      <c r="I6" t="str">
        <f t="shared" si="0"/>
        <v>Target Met</v>
      </c>
      <c r="J6">
        <f>'Profile &amp; Calculator'!$B$19</f>
        <v>7500</v>
      </c>
      <c r="K6" t="str">
        <f t="shared" si="1"/>
        <v>Target Met</v>
      </c>
      <c r="L6">
        <v>6.5</v>
      </c>
      <c r="M6" t="str">
        <f t="shared" si="2"/>
        <v>Target Met</v>
      </c>
      <c r="N6">
        <f>'Profile &amp; Calculator'!$B$16</f>
        <v>72</v>
      </c>
      <c r="O6" t="str">
        <f t="shared" si="3"/>
        <v>Target Met</v>
      </c>
      <c r="P6" s="21" t="str">
        <f t="shared" si="4"/>
        <v>ALL TARGETS MET</v>
      </c>
      <c r="Q6" s="21" t="str">
        <f t="shared" si="5"/>
        <v>At Least One Target Met</v>
      </c>
    </row>
    <row r="7" spans="1:17" x14ac:dyDescent="0.35">
      <c r="A7" s="14">
        <v>46280</v>
      </c>
      <c r="B7">
        <v>2.1</v>
      </c>
      <c r="C7">
        <v>6800</v>
      </c>
      <c r="D7">
        <v>40</v>
      </c>
      <c r="E7">
        <v>72</v>
      </c>
      <c r="F7">
        <v>7</v>
      </c>
      <c r="G7">
        <v>2100</v>
      </c>
      <c r="H7">
        <f>'Profile &amp; Calculator'!$B$18</f>
        <v>2.5</v>
      </c>
      <c r="I7" t="str">
        <f t="shared" si="0"/>
        <v>Below Target</v>
      </c>
      <c r="J7">
        <f>'Profile &amp; Calculator'!$B$19</f>
        <v>7500</v>
      </c>
      <c r="K7" t="str">
        <f t="shared" si="1"/>
        <v>below Target</v>
      </c>
      <c r="L7">
        <v>6.5</v>
      </c>
      <c r="M7" t="str">
        <f t="shared" si="2"/>
        <v>Target Met</v>
      </c>
      <c r="N7">
        <f>'Profile &amp; Calculator'!$B$16</f>
        <v>72</v>
      </c>
      <c r="O7" t="str">
        <f t="shared" si="3"/>
        <v>Target Met</v>
      </c>
      <c r="P7" s="21" t="str">
        <f t="shared" si="4"/>
        <v>NEEDS IMPROVEMENT</v>
      </c>
      <c r="Q7" s="21" t="str">
        <f t="shared" si="5"/>
        <v>Neither Target Met</v>
      </c>
    </row>
    <row r="8" spans="1:17" x14ac:dyDescent="0.35">
      <c r="A8" s="14">
        <v>46281</v>
      </c>
      <c r="B8">
        <v>2.4</v>
      </c>
      <c r="C8">
        <v>8500</v>
      </c>
      <c r="D8">
        <v>45</v>
      </c>
      <c r="E8">
        <v>82</v>
      </c>
      <c r="F8">
        <v>8</v>
      </c>
      <c r="G8">
        <v>2000</v>
      </c>
      <c r="H8">
        <f>'Profile &amp; Calculator'!$B$18</f>
        <v>2.5</v>
      </c>
      <c r="I8" t="str">
        <f t="shared" si="0"/>
        <v>Below Target</v>
      </c>
      <c r="J8">
        <f>'Profile &amp; Calculator'!$B$19</f>
        <v>7500</v>
      </c>
      <c r="K8" t="str">
        <f t="shared" si="1"/>
        <v>Target Met</v>
      </c>
      <c r="L8">
        <v>6.5</v>
      </c>
      <c r="M8" t="str">
        <f t="shared" si="2"/>
        <v>Target Met</v>
      </c>
      <c r="N8">
        <f>'Profile &amp; Calculator'!$B$16</f>
        <v>72</v>
      </c>
      <c r="O8" t="str">
        <f t="shared" si="3"/>
        <v>Target Met</v>
      </c>
      <c r="P8" s="21" t="str">
        <f t="shared" si="4"/>
        <v>NEEDS IMPROVEMENT</v>
      </c>
      <c r="Q8" s="21" t="str">
        <f t="shared" si="5"/>
        <v>At Least One Target Met</v>
      </c>
    </row>
    <row r="9" spans="1:17" x14ac:dyDescent="0.35">
      <c r="A9" s="14"/>
    </row>
    <row r="11" spans="1:17" x14ac:dyDescent="0.35">
      <c r="A11" s="19" t="s">
        <v>26</v>
      </c>
      <c r="B11" s="16"/>
    </row>
    <row r="12" spans="1:17" x14ac:dyDescent="0.35">
      <c r="A12" s="20" t="s">
        <v>27</v>
      </c>
      <c r="B12" s="20"/>
      <c r="C12" s="4">
        <f>SUM(B2:B8)</f>
        <v>15.8</v>
      </c>
    </row>
    <row r="13" spans="1:17" x14ac:dyDescent="0.35">
      <c r="A13" s="20" t="s">
        <v>28</v>
      </c>
      <c r="B13" s="20"/>
      <c r="C13" s="18">
        <f>AVERAGE(B2:B8)</f>
        <v>2.2571428571428571</v>
      </c>
    </row>
    <row r="14" spans="1:17" x14ac:dyDescent="0.35">
      <c r="A14" s="20" t="s">
        <v>29</v>
      </c>
      <c r="B14" s="20"/>
      <c r="C14" s="4">
        <f>SUM(Table1[Exercise(min)])</f>
        <v>265</v>
      </c>
    </row>
    <row r="15" spans="1:17" x14ac:dyDescent="0.35">
      <c r="A15" s="20" t="s">
        <v>30</v>
      </c>
      <c r="B15" s="20"/>
      <c r="C15" s="18">
        <f>AVERAGE(Table1[Exercise(min)])</f>
        <v>37.857142857142854</v>
      </c>
    </row>
    <row r="16" spans="1:17" x14ac:dyDescent="0.35">
      <c r="A16" s="20" t="s">
        <v>31</v>
      </c>
      <c r="B16" s="20"/>
      <c r="C16" s="18">
        <f>AVERAGE(Table1[Steps])</f>
        <v>7385.7142857142853</v>
      </c>
    </row>
    <row r="17" spans="1:3" x14ac:dyDescent="0.35">
      <c r="A17" s="20" t="s">
        <v>32</v>
      </c>
      <c r="B17" s="20"/>
      <c r="C17" s="4">
        <f>MAX(Table1[Steps])</f>
        <v>9200</v>
      </c>
    </row>
    <row r="18" spans="1:3" x14ac:dyDescent="0.35">
      <c r="A18" s="20" t="s">
        <v>33</v>
      </c>
      <c r="B18" s="20"/>
      <c r="C18" s="4">
        <f>MIN(Table1[Steps])</f>
        <v>5000</v>
      </c>
    </row>
    <row r="19" spans="1:3" x14ac:dyDescent="0.35">
      <c r="A19" s="20" t="s">
        <v>34</v>
      </c>
      <c r="B19" s="20"/>
      <c r="C19" s="18">
        <f>AVERAGE(Table1[Protein(g)])</f>
        <v>77.428571428571431</v>
      </c>
    </row>
    <row r="20" spans="1:3" x14ac:dyDescent="0.35">
      <c r="A20" s="20" t="s">
        <v>35</v>
      </c>
      <c r="B20" s="20"/>
      <c r="C20" s="4">
        <f>MAX(Table1[Protein(g)])</f>
        <v>90</v>
      </c>
    </row>
    <row r="21" spans="1:3" x14ac:dyDescent="0.35">
      <c r="A21" s="20" t="s">
        <v>36</v>
      </c>
      <c r="B21" s="20"/>
      <c r="C21" s="4">
        <f>MIN(Table1[Protein(g)])</f>
        <v>65</v>
      </c>
    </row>
    <row r="22" spans="1:3" x14ac:dyDescent="0.35">
      <c r="A22" s="20" t="s">
        <v>37</v>
      </c>
      <c r="B22" s="20"/>
      <c r="C22" s="4">
        <f>COUNT(Table1[Date])</f>
        <v>7</v>
      </c>
    </row>
  </sheetData>
  <mergeCells count="12"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1B23-3BDD-4FCA-B55A-AAA5572A75FD}">
  <dimension ref="A1:C17"/>
  <sheetViews>
    <sheetView tabSelected="1" topLeftCell="A5" workbookViewId="0">
      <selection activeCell="E13" sqref="E13"/>
    </sheetView>
  </sheetViews>
  <sheetFormatPr defaultRowHeight="14.5" x14ac:dyDescent="0.35"/>
  <cols>
    <col min="1" max="2" width="13.90625" bestFit="1" customWidth="1"/>
    <col min="3" max="3" width="17.36328125" customWidth="1"/>
  </cols>
  <sheetData>
    <row r="1" spans="1:3" ht="29" x14ac:dyDescent="0.35">
      <c r="A1" s="22" t="s">
        <v>7</v>
      </c>
      <c r="B1" s="23" t="s">
        <v>48</v>
      </c>
      <c r="C1" s="24" t="s">
        <v>49</v>
      </c>
    </row>
    <row r="2" spans="1:3" ht="29" x14ac:dyDescent="0.35">
      <c r="A2" s="25" t="s">
        <v>10</v>
      </c>
      <c r="B2" s="26" t="s">
        <v>50</v>
      </c>
      <c r="C2" s="27" t="s">
        <v>51</v>
      </c>
    </row>
    <row r="3" spans="1:3" x14ac:dyDescent="0.35">
      <c r="A3" s="25" t="s">
        <v>10</v>
      </c>
      <c r="B3" s="26" t="s">
        <v>52</v>
      </c>
      <c r="C3" s="27" t="s">
        <v>53</v>
      </c>
    </row>
    <row r="4" spans="1:3" ht="29" x14ac:dyDescent="0.35">
      <c r="A4" s="25" t="s">
        <v>54</v>
      </c>
      <c r="B4" s="26" t="s">
        <v>50</v>
      </c>
      <c r="C4" s="27" t="s">
        <v>51</v>
      </c>
    </row>
    <row r="5" spans="1:3" ht="29" x14ac:dyDescent="0.35">
      <c r="A5" s="25" t="s">
        <v>54</v>
      </c>
      <c r="B5" s="26" t="s">
        <v>52</v>
      </c>
      <c r="C5" s="27" t="s">
        <v>53</v>
      </c>
    </row>
    <row r="6" spans="1:3" x14ac:dyDescent="0.35">
      <c r="A6" s="25" t="s">
        <v>55</v>
      </c>
      <c r="B6" s="26" t="s">
        <v>50</v>
      </c>
      <c r="C6" s="27" t="s">
        <v>56</v>
      </c>
    </row>
    <row r="7" spans="1:3" x14ac:dyDescent="0.35">
      <c r="A7" s="28" t="s">
        <v>55</v>
      </c>
      <c r="B7" s="29" t="s">
        <v>52</v>
      </c>
      <c r="C7" s="30" t="s">
        <v>57</v>
      </c>
    </row>
    <row r="10" spans="1:3" x14ac:dyDescent="0.35">
      <c r="A10" s="31" t="s">
        <v>58</v>
      </c>
      <c r="B10" s="31" t="s">
        <v>59</v>
      </c>
      <c r="C10" s="33" t="s">
        <v>60</v>
      </c>
    </row>
    <row r="11" spans="1:3" ht="29" x14ac:dyDescent="0.35">
      <c r="A11" s="17" t="s">
        <v>61</v>
      </c>
      <c r="B11" s="17" t="s">
        <v>56</v>
      </c>
      <c r="C11" s="32" t="s">
        <v>62</v>
      </c>
    </row>
    <row r="12" spans="1:3" x14ac:dyDescent="0.35">
      <c r="A12" s="17" t="s">
        <v>63</v>
      </c>
      <c r="B12" s="17" t="s">
        <v>64</v>
      </c>
      <c r="C12" s="32" t="s">
        <v>62</v>
      </c>
    </row>
    <row r="13" spans="1:3" ht="29" x14ac:dyDescent="0.35">
      <c r="A13" s="17" t="s">
        <v>65</v>
      </c>
      <c r="B13" s="17" t="s">
        <v>66</v>
      </c>
      <c r="C13" s="32" t="s">
        <v>62</v>
      </c>
    </row>
    <row r="14" spans="1:3" x14ac:dyDescent="0.35">
      <c r="A14" s="17" t="s">
        <v>67</v>
      </c>
      <c r="B14" s="17" t="s">
        <v>64</v>
      </c>
      <c r="C14" s="32" t="s">
        <v>62</v>
      </c>
    </row>
    <row r="15" spans="1:3" ht="29" x14ac:dyDescent="0.35">
      <c r="A15" s="17" t="s">
        <v>68</v>
      </c>
      <c r="B15" s="17" t="s">
        <v>69</v>
      </c>
      <c r="C15" s="32" t="s">
        <v>62</v>
      </c>
    </row>
    <row r="16" spans="1:3" ht="29" x14ac:dyDescent="0.35">
      <c r="A16" s="17" t="s">
        <v>70</v>
      </c>
      <c r="B16" s="17" t="s">
        <v>71</v>
      </c>
      <c r="C16" s="32" t="s">
        <v>62</v>
      </c>
    </row>
    <row r="17" spans="1:3" x14ac:dyDescent="0.35">
      <c r="A17" s="17" t="s">
        <v>72</v>
      </c>
      <c r="B17" s="17" t="s">
        <v>73</v>
      </c>
      <c r="C17" s="32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 &amp; Calculator</vt:lpstr>
      <vt:lpstr>Daily Tracker</vt:lpstr>
      <vt:lpstr>Exercise PlanGoal	Activity Leve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divyashree</dc:creator>
  <cp:lastModifiedBy>sai divyashree</cp:lastModifiedBy>
  <dcterms:created xsi:type="dcterms:W3CDTF">2026-09-15T16:30:23Z</dcterms:created>
  <dcterms:modified xsi:type="dcterms:W3CDTF">2026-09-16T09:36:42Z</dcterms:modified>
</cp:coreProperties>
</file>